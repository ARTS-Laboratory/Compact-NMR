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my\OneDrive\Documents\GitHub\Compact-NMR\System_development\Van-Hove\PCB_design\NMR Control Board v0.4.5\"/>
    </mc:Choice>
  </mc:AlternateContent>
  <xr:revisionPtr revIDLastSave="0" documentId="13_ncr:1_{38229ED6-EC72-499E-A2FA-0EFEC4653A7F}" xr6:coauthVersionLast="47" xr6:coauthVersionMax="47" xr10:uidLastSave="{00000000-0000-0000-0000-000000000000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</calcChain>
</file>

<file path=xl/sharedStrings.xml><?xml version="1.0" encoding="utf-8"?>
<sst xmlns="http://schemas.openxmlformats.org/spreadsheetml/2006/main" count="120" uniqueCount="119">
  <si>
    <t>Total Cost</t>
  </si>
  <si>
    <t>Designator</t>
  </si>
  <si>
    <t>Component</t>
  </si>
  <si>
    <t>Amount</t>
  </si>
  <si>
    <t>Individual Cost</t>
  </si>
  <si>
    <t>IC REG LINEAR 5V 1A DPAK</t>
  </si>
  <si>
    <t>NCP1117DT50RKG</t>
  </si>
  <si>
    <t>IC REG LINEAR 12V 1A D2PAK</t>
  </si>
  <si>
    <t>MC7812ABD2TR4G</t>
  </si>
  <si>
    <t>IC REG CHARG PUMP INV 25MA SOT23</t>
  </si>
  <si>
    <t>LM828M5</t>
  </si>
  <si>
    <t>Power Splitter</t>
  </si>
  <si>
    <t>ADP-2-1W+</t>
  </si>
  <si>
    <t>Mixer</t>
  </si>
  <si>
    <t>ADE-6+</t>
  </si>
  <si>
    <t>IC RF SWITCH</t>
  </si>
  <si>
    <t>ADG901BRMZ-REEL7</t>
  </si>
  <si>
    <t>Low Noise Amplifier</t>
  </si>
  <si>
    <t>LM4565FV-GE2</t>
  </si>
  <si>
    <t>IC REG LINEAR 1.8V 50MA SC88A</t>
  </si>
  <si>
    <t>NCP715sQ18T2G</t>
  </si>
  <si>
    <t>0.1 uF Capacitors</t>
  </si>
  <si>
    <t>0.33 uf Capacitors</t>
  </si>
  <si>
    <t xml:space="preserve"> CL31B105KAHNNNE 1uF 10% 5V Ceramic Capacitor X7R 1206 (3216Metric)</t>
  </si>
  <si>
    <t>CL31B104KBCNNNC 0.1 uF 10% 50V Ceramic Capacitor X7R 1206(3216 Metric)</t>
  </si>
  <si>
    <t>VPDD202W102K1GV001E 1000 pF 10% 2000V(2kV) Ceramic Capacitor X7R 1206 (3216 Metric)</t>
  </si>
  <si>
    <t>CL31B334KBFNNNE 0.33 uF 10% 50V Ceramic Capacitor X7R 1206 (3216 Metric)</t>
  </si>
  <si>
    <t>10 uf Capacitors</t>
  </si>
  <si>
    <t>CL31A106KQHNNNE 10 uF 10% 6.3V Ceramic Capacitor X5R 1206 (3216 Metric)</t>
  </si>
  <si>
    <t>Diodes</t>
  </si>
  <si>
    <t>DIODE GEN PURP 100V 200MA DO35 1N4148-T50R</t>
  </si>
  <si>
    <t>DIODE ARRAY SCHOTTKY 40V SOT23</t>
  </si>
  <si>
    <t>BAT6404E6433HTMA1</t>
  </si>
  <si>
    <t>Female Through Hole SMA Connector</t>
  </si>
  <si>
    <t xml:space="preserve">RF2-04A-T-00-50-G    </t>
  </si>
  <si>
    <t>https://www.digikey.com/en/products/detail/onsemi/NCP1117DT50RKG/661206?s=N4IgTCBcDaIHIGEAKBGNB2AIgFQKwAYAlAaQHEQBdAXyA</t>
  </si>
  <si>
    <t>https://www.digikey.com/en/products/detail/onsemi/MC7812ABD2TR4G/1481258?s=N4IgTCBcDaILIGEDsAOAjGAggIQCJgBUAlAFgHEQBdAXyA</t>
  </si>
  <si>
    <t>https://www.digikey.com/en/products/detail/texas-instruments/LM828M5/2350256</t>
  </si>
  <si>
    <t>https://www.digikey.com/en/products/detail/mini-circuits/ADP-2-1W/13680589?s=N4IgTCBcDaIIIBEAKBaMKCMB1A1CAugL5A</t>
  </si>
  <si>
    <t>https://www.digikey.com/en/products/detail/mini-circuits/ADE-6/13927064</t>
  </si>
  <si>
    <t>https://www.digikey.com/en/products/detail/analog-devices-inc/ADG901BRMZ-REEL7/995401?s=N4IgTCBcDaIIIBEDiBOADARgEICUCyAWgLQ4CipAMgOwgC6AvkA</t>
  </si>
  <si>
    <t>https://www.digikey.com/en/products/detail/rohm-semiconductor/LM4565FV-GE2/7896223?s=N4IgTCBcDaIDIFkAsBWAbCgYgNQLQHEBRCAXQF8g</t>
  </si>
  <si>
    <t>https://www.digikey.com/en/products/detail/onsemi/NCP715SQ18T2G/5257856?s=N4IgTCBcDaIHIGEAKB2AjAVgM4EU0A4AVMAcRAF0BfIA</t>
  </si>
  <si>
    <t>Vendor 1</t>
  </si>
  <si>
    <t>Vendor 2</t>
  </si>
  <si>
    <t>Vendor 3</t>
  </si>
  <si>
    <t>https://www.digikey.com/en/products/detail/adam-tech/RF2-04A-T-00-50-G/9830588</t>
  </si>
  <si>
    <t>https://www.digikey.com/en/products/detail/infineon-technologies/BAT6404E6433HTMA1/1280948?s=N4IgTCBcDaIEIEEAqA2ALABjQUXQZjwAkkBZBARhAF0BfIA</t>
  </si>
  <si>
    <t>https://www.digikey.com/en/products/detail/onsemi/1N4148-T50R/978510?s=N4IgTCBcDaIIwDkAsckA4C0AVArABgCUQBdAXyA</t>
  </si>
  <si>
    <t>https://www.digikey.com/en/products/detail/samsung-electro-mechanics/CL31A106KQHNNNE/3886737?s=N4IgTCBcDaIMIBkDMBGAgigDANgNIEUAJAOVIFEQBdAXyA</t>
  </si>
  <si>
    <t>https://www.digikey.com/en/products/detail/samsung-electro-mechanics/CL31B334KBFNNNE/3886796?s=N4IgTCBcDaIMIBkDMBGAQkpAWA0mgYgHLECiIAugL5A</t>
  </si>
  <si>
    <t>https://www.digikey.com/en/products/detail/johanson-dielectrics-inc/VPDD202W102K1GV001E/1556359?s=N4IgTCBcDaIGoAUAiSwAYwHUCMGDS2A4nGmtgKIgC6AvkA</t>
  </si>
  <si>
    <t>https://www.digikey.com/en/products/detail/samsung-electro-mechanics/CL31B104KBCNNNC/3886675?s=N4IgTCBcDaIMIBkDMBGAQigDAFgNJrgDli4QBdAXyA</t>
  </si>
  <si>
    <t>https://www.digikey.com/en/products/detail/samsung-electro-mechanics/CL31B105KAHNNNE/3886755?s=N4IgTCBcDaIMIBkDMBGAQigDAVgNIEEAJAOVIFEQBdAXyA</t>
  </si>
  <si>
    <t>https://www.mouser.com/ProductDetail/onsemi/NCP1117DT50RKG?qs=Gev%252BmEvV0iaGLyZQ1w6kFw%3D%3D&amp;srsltid=AfmBOorm3HJC9LJ_FpA0ZSoT3NoLt8lBV9SOBLak7v_5jOgS_GBCqXY6</t>
  </si>
  <si>
    <t>https://www.mouser.com/ProductDetail/onsemi/MC7812ABD2TR4G?qs=%252B9%2Fcbd0IE0Re2wNB1j%2FK%2FQ%3D%3D</t>
  </si>
  <si>
    <t>https://www.mouser.com/ProductDetail/Texas-Instruments/LM828M5-NOPB?qs=QbsRYf82W3GhaXohGcEtsw%3D%3D</t>
  </si>
  <si>
    <t>https://www.mouser.com/ProductDetail/Mini-Circuits/ADP-2-1W%2b?qs=xZ%2FP%252Ba9zWqaS05pgXAHsTw%3D%3D</t>
  </si>
  <si>
    <t>https://www.mouser.com/ProductDetail/Mini-Circuits/ADE-6%2b?qs=xZ%2FP%252Ba9zWqaicAj6d16bRw%3D%3D</t>
  </si>
  <si>
    <t>https://www.mouser.com/ProductDetail/Analog-Devices/ADG901BRMZ-REEL7?qs=BpaRKvA4VqGtXy7JBFLGiA%3D%3D</t>
  </si>
  <si>
    <t>https://www.mouser.com/ProductDetail/ROHM-Semiconductor/LM4565FV-GE2?qs=4v%252BiZTmLVHEiNti1hBVbUQ%3D%3D</t>
  </si>
  <si>
    <t>https://www.mouser.com/ProductDetail/onsemi/NCP715SQ18T2G?qs=dbuNSGnowt1%2Falybo7mueQ%3D%3D</t>
  </si>
  <si>
    <t>https://www.mouser.com/ProductDetail/Samsung-Electro-Mechanics/CL31B105KAHNNNE?qs=349EhDEZ59p5FHnPIxx1UQ%3D%3D</t>
  </si>
  <si>
    <t>https://www.mouser.com/ProductDetail/Samsung-Electro-Mechanics/CL31B104KBCNNNC?qs=349EhDEZ59oHABbyGq1iKA%3D%3D</t>
  </si>
  <si>
    <t>https://www.mouser.com/ProductDetail/Johanson-Dielectrics/VPDD202W102K1GV001E?qs=jRuttqqUwMTOgYz3gUWN7g%3D%3D</t>
  </si>
  <si>
    <t>https://www.mouser.com/ProductDetail/Samsung-Electro-Mechanics/CL31B334KBFNNNE?qs=349EhDEZ59qKxGVb2dY2bQ%3D%3D</t>
  </si>
  <si>
    <t>https://www.mouser.com/ProductDetail/Samsung-Electro-Mechanics/CL31A106KQHNNNE?qs=349EhDEZ59pJO7ndoI%2FMkg%3D%3D</t>
  </si>
  <si>
    <t>https://www.mouser.com/ProductDetail/onsemi-Fairchild/1N4148-T50R?qs=0lQeLiL1qyZS6rosZp7Ehg%3D%3D</t>
  </si>
  <si>
    <t>https://www.mouser.com/ProductDetail/Infineon-Technologies/BAT6404E6433HTMA1?qs=K00xGehIlju31KA4KMtgCQ%3D%3D</t>
  </si>
  <si>
    <t>https://www.mouser.com/ProductDetail/Adam-Tech/RF2-04A-T-00-50-G?qs=HoCaDK9Nz5dc3qwWN4DjGA%3D%3D</t>
  </si>
  <si>
    <t>https://www.lcsc.com/product-detail/Low-Dropout-Regulators-LDO_ON-Semicon_NCP1117DT50RKG_ON-Semicon-ON-NCP1117DT50RKG_C152470.html</t>
  </si>
  <si>
    <t>https://www.lcsc.com/product-detail/Voltage-Regulators-Linear-Low-Drop-Out-LDO-Regulators_onsemi-MC7812ABD2TR4G_C152478.html?s_z=n_MC7812ABD2TR4G</t>
  </si>
  <si>
    <t>https://www.lcsc.com/product-detail/Charge-Pumps_Texas-Instruments-LM828M5-NOPB_C471872.html?s_z=n_LM828M5</t>
  </si>
  <si>
    <t>https://www.lcsc.com/product-detail/RF-Power-Splitters-Combiners_Mini-Circuits-ADP-2-1W_C879865.html?s_z=n_ADP-2-1W%252B</t>
  </si>
  <si>
    <t>https://www.lcsc.com/product-detail/RF-Mixers_Mini-Circuits-ADE-6_C3176578.html?s_z=n_ADE-6%252B</t>
  </si>
  <si>
    <t>https://www.lcsc.com/product-detail/RF-Switches_Analog-Devices-ADG901BRMZ-REEL7_C206802.html?s_z=n_ADG901BRMZ-REEL7</t>
  </si>
  <si>
    <t>https://www.tme.eu/en/details/lm4565fv-ge2/smd-operational-amplifiers/rohm-semiconductor/</t>
  </si>
  <si>
    <t>https://www.newark.com/onsemi/ncp715sq18t2g/ic-ldo-volt-reg-0-05a-1-8v-sc/dp/62X8355?CMP=AFC-ECIA</t>
  </si>
  <si>
    <t>https://www.lcsc.com/product-detail/Multilayer-Ceramic-Capacitors-MLCC-SMD-SMT_Samsung-Electro-Mechanics-CL31B105KAHNNNE_C28322.html?s_z=n_CL31B105KAHNNNE</t>
  </si>
  <si>
    <t>https://www.lcsc.com/product-detail/Multilayer-Ceramic-Capacitors-MLCC-SMD-SMT_Samsung-Electro-Mechanics-CL31B104KBCNNNC_C24497.html?s_z=n_CL31B104KBCNNNC</t>
  </si>
  <si>
    <t>https://www.newark.com/johanson-dielectrics/202r18w102kv4e/ceramic-capacitor-1000pf-2000v/dp/01H9029</t>
  </si>
  <si>
    <t>https://www.lcsc.com/product-detail/Multilayer-Ceramic-Capacitors-MLCC-SMD-SMT_Samsung-Electro-Mechanics-CL31B334KBFNNNE_C307572.html?s_z=n_CL31B334KBFNNNE</t>
  </si>
  <si>
    <t>https://www.newark.com/samsung-electro-mechanics/cl31a106kbhnnne/cap-10uf-50v-mlcc-1206/dp/82AC9486</t>
  </si>
  <si>
    <t>https://www.newark.com/onsemi/1n4148-t50r/small-signal-sw-diode-100v-0-2a/dp/48AC1509</t>
  </si>
  <si>
    <t>https://www.newark.com/infineon/bat6404e6433htma1/diode-schottky-aec-q101-40v-sot23/dp/68AC4382</t>
  </si>
  <si>
    <t>https://www.heilind.com/adtrf2-04a-t-00-50-g.html?&amp;utm_source=octopart&amp;utm_medium=buy</t>
  </si>
  <si>
    <t>Reference</t>
  </si>
  <si>
    <t>U3</t>
  </si>
  <si>
    <t>U5</t>
  </si>
  <si>
    <t>Power_Splitter</t>
  </si>
  <si>
    <t>Mixer_Mixer</t>
  </si>
  <si>
    <t>U6</t>
  </si>
  <si>
    <t>U4</t>
  </si>
  <si>
    <t>U2</t>
  </si>
  <si>
    <t>U1</t>
  </si>
  <si>
    <t>1 uF Capacitors</t>
  </si>
  <si>
    <t>1 nF Capacitors</t>
  </si>
  <si>
    <t>C4, C8, C9</t>
  </si>
  <si>
    <t>C1, C2, C3, C15</t>
  </si>
  <si>
    <t>C10, C11, C12</t>
  </si>
  <si>
    <t>C13, C14</t>
  </si>
  <si>
    <t>C5</t>
  </si>
  <si>
    <t>D8, D9, D10</t>
  </si>
  <si>
    <t>D1, D2, D3, D4</t>
  </si>
  <si>
    <t>J1-J12</t>
  </si>
  <si>
    <t>Vendor 4</t>
  </si>
  <si>
    <t>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</t>
  </si>
  <si>
    <t>C7</t>
  </si>
  <si>
    <t>C6</t>
  </si>
  <si>
    <t>https://www.digikey.com/en/products/detail/kyocera-avx/06035A620JAT2A/1599919</t>
  </si>
  <si>
    <t>68 pF Capacitor</t>
  </si>
  <si>
    <t>68 pF ±5% 50V Ceramic Capacitor C0G, NP0 0402 (1005 Metric)</t>
  </si>
  <si>
    <t>https://www.digikey.com/en/products/detail/samsung-electro-mechanics/CL05C680JB51PNC/5961075</t>
  </si>
  <si>
    <t>https://www.mouser.com/ProductDetail/Samsung-Electro-Mechanics/CL05C680JB51PNC?qs=Qj6zq1TuXccLoUfUcVMRpg%3D%3D&amp;srsltid=AfmBOoqEiTbEeK390TP7trsii-YceePAIfLmiKYXj3QOj_dN5XZNFEpd</t>
  </si>
  <si>
    <t>https://www.tme.com/in/en/details/cl05c680jb51pnc/mlcc-smd-capacitors/samsung/</t>
  </si>
  <si>
    <t>62 pF Capacitor</t>
  </si>
  <si>
    <t>https://www.mouser.com/ProductDetail/KYOCERA-AVX/06035A620JAT2A?qs=VYVmvnYLdvmMNkKlwnY2DA%3D%3D&amp;srsltid=AfmBOopgsyC5QFua0Po9VQiPl_nxzOGa_XvbMg2lB5IDWXMeV3X7dhGE</t>
  </si>
  <si>
    <t>https://www.newark.com/kyocera-avx/06035a620jat2a/capacitor-62pf-c0g-np0-50v-0603/dp/41AM3452</t>
  </si>
  <si>
    <t>62 pF ±5% 50V Ceramic Capacitor C0G, NP0 0603 (1608 Metric)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</si>
</sst>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0" fillId="0" borderId="0" xfId="0" applyAlignment="1">
      <alignment wrapText="1"/>
    </xf>
    <xf numFmtId="0" fontId="1" fillId="0" borderId="0" xfId="1" applyAlignment="1">
      <alignment shrinkToFit="1"/>
    </xf>
  </cellXfs>
  <cellStyles count="2">
    <cellStyle name="Hyperlink" xfId="1" builtinId="8"/>
    <cellStyle name="Normal" xfId="0" builtinId="0"/>
  </cellStyles>
  <dxfs count="7"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numFmt numFmtId="164" formatCode="&quot;$&quot;#,##0.00"/>
    </dxf>
    <dxf>
      <numFmt numFmtId="164" formatCode="&quot;$&quot;#,##0.0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BB0EBA-7ABD-4504-8B56-065735F83FAF}" name="Table1" displayName="Table1" ref="A1:J19" totalsRowShown="0" dataCellStyle="Hyperlink">
  <autoFilter ref="A1:J19" xr:uid="{77BB0EBA-7ABD-4504-8B56-065735F83FAF}"/>
  <tableColumns count="10">
    <tableColumn id="1" xr3:uid="{125445A2-3E64-47DE-B26B-B36D09088CF3}" name="Designator" dataDxfId="6"/>
    <tableColumn id="9" xr3:uid="{216FE132-2E18-40F7-A20A-BBFD26EC9D9D}" name="Reference"/>
    <tableColumn id="2" xr3:uid="{978F1655-82E8-4669-A0DF-8FC026E7C5CF}" name="Component"/>
    <tableColumn id="3" xr3:uid="{B31F8100-EC13-4F33-9A36-9A86A9F32309}" name="Amount"/>
    <tableColumn id="4" xr3:uid="{B43A5C30-725D-41B9-ADE9-63C238F6193D}" name="Individual Cost" dataDxfId="5"/>
    <tableColumn id="5" xr3:uid="{D2C286B4-CC55-46B0-8AA4-9B8C5B8E8252}" name="Total Cost" dataDxfId="4"/>
    <tableColumn id="6" xr3:uid="{05D9E9D4-6FDB-4462-ABB6-67CC55FED516}" name="Vendor 1" dataDxfId="3" dataCellStyle="Hyperlink"/>
    <tableColumn id="7" xr3:uid="{1351036D-0F08-4053-99CA-5A59FD8F86C2}" name="Vendor 2" dataDxfId="2" dataCellStyle="Hyperlink"/>
    <tableColumn id="8" xr3:uid="{A6791673-9B53-4B1D-9E7C-56277BA3A1DB}" name="Vendor 3" dataDxfId="1" dataCellStyle="Hyperlink"/>
    <tableColumn id="10" xr3:uid="{071AC535-6AD2-4958-86AD-B45E57B01236}" name="Vendor 4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samsung-electro-mechanics/CL31B334KBFNNNE/3886796?s=N4IgTCBcDaIMIBkDMBGAQkpAWA0mgYgHLECiIAugL5A" TargetMode="External"/><Relationship Id="rId18" Type="http://schemas.openxmlformats.org/officeDocument/2006/relationships/hyperlink" Target="https://www.mouser.com/ProductDetail/onsemi/MC7812ABD2TR4G?qs=%252B9%2Fcbd0IE0Re2wNB1j%2FK%2FQ%3D%3D" TargetMode="External"/><Relationship Id="rId26" Type="http://schemas.openxmlformats.org/officeDocument/2006/relationships/hyperlink" Target="https://www.mouser.com/ProductDetail/Samsung-Electro-Mechanics/CL31B104KBCNNNC?qs=349EhDEZ59oHABbyGq1iKA%3D%3D" TargetMode="External"/><Relationship Id="rId39" Type="http://schemas.openxmlformats.org/officeDocument/2006/relationships/hyperlink" Target="https://www.tme.eu/en/details/lm4565fv-ge2/smd-operational-amplifiers/rohm-semiconductor/" TargetMode="External"/><Relationship Id="rId21" Type="http://schemas.openxmlformats.org/officeDocument/2006/relationships/hyperlink" Target="https://www.mouser.com/ProductDetail/Mini-Circuits/ADE-6%2b?qs=xZ%2FP%252Ba9zWqaicAj6d16bRw%3D%3D" TargetMode="External"/><Relationship Id="rId34" Type="http://schemas.openxmlformats.org/officeDocument/2006/relationships/hyperlink" Target="https://www.lcsc.com/product-detail/Voltage-Regulators-Linear-Low-Drop-Out-LDO-Regulators_onsemi-MC7812ABD2TR4G_C152478.html?s_z=n_MC7812ABD2TR4G" TargetMode="External"/><Relationship Id="rId42" Type="http://schemas.openxmlformats.org/officeDocument/2006/relationships/hyperlink" Target="https://www.lcsc.com/product-detail/Multilayer-Ceramic-Capacitors-MLCC-SMD-SMT_Samsung-Electro-Mechanics-CL31B104KBCNNNC_C24497.html?s_z=n_CL31B104KBCNNNC" TargetMode="External"/><Relationship Id="rId47" Type="http://schemas.openxmlformats.org/officeDocument/2006/relationships/hyperlink" Target="https://www.newark.com/infineon/bat6404e6433htma1/diode-schottky-aec-q101-40v-sot23/dp/68AC4382" TargetMode="External"/><Relationship Id="rId50" Type="http://schemas.openxmlformats.org/officeDocument/2006/relationships/hyperlink" Target="https://www.digikey.com/en/products/detail/kyocera-avx/06035A620JAT2A/1599919" TargetMode="External"/><Relationship Id="rId7" Type="http://schemas.openxmlformats.org/officeDocument/2006/relationships/hyperlink" Target="https://www.digikey.com/en/products/detail/rohm-semiconductor/LM4565FV-GE2/7896223?s=N4IgTCBcDaIDIFkAsBWAbCgYgNQLQHEBRCAXQF8g" TargetMode="External"/><Relationship Id="rId2" Type="http://schemas.openxmlformats.org/officeDocument/2006/relationships/hyperlink" Target="https://www.digikey.com/en/products/detail/onsemi/MC7812ABD2TR4G/1481258?s=N4IgTCBcDaILIGEDsAOAjGAggIQCJgBUAlAFgHEQBdAXyA" TargetMode="External"/><Relationship Id="rId16" Type="http://schemas.openxmlformats.org/officeDocument/2006/relationships/hyperlink" Target="https://www.digikey.com/en/products/detail/samsung-electro-mechanics/CL31B105KAHNNNE/3886755?s=N4IgTCBcDaIMIBkDMBGAQigDAVgNIEEAJAOVIFEQBdAXyA" TargetMode="External"/><Relationship Id="rId29" Type="http://schemas.openxmlformats.org/officeDocument/2006/relationships/hyperlink" Target="https://www.mouser.com/ProductDetail/Samsung-Electro-Mechanics/CL31A106KQHNNNE?qs=349EhDEZ59pJO7ndoI%2FMkg%3D%3D" TargetMode="External"/><Relationship Id="rId11" Type="http://schemas.openxmlformats.org/officeDocument/2006/relationships/hyperlink" Target="https://www.digikey.com/en/products/detail/onsemi/1N4148-T50R/978510?s=N4IgTCBcDaIIwDkAsckA4C0AVArABgCUQBdAXyA" TargetMode="External"/><Relationship Id="rId24" Type="http://schemas.openxmlformats.org/officeDocument/2006/relationships/hyperlink" Target="https://www.mouser.com/ProductDetail/onsemi/NCP715SQ18T2G?qs=dbuNSGnowt1%2Falybo7mueQ%3D%3D" TargetMode="External"/><Relationship Id="rId32" Type="http://schemas.openxmlformats.org/officeDocument/2006/relationships/hyperlink" Target="https://www.mouser.com/ProductDetail/Adam-Tech/RF2-04A-T-00-50-G?qs=HoCaDK9Nz5dc3qwWN4DjGA%3D%3D" TargetMode="External"/><Relationship Id="rId37" Type="http://schemas.openxmlformats.org/officeDocument/2006/relationships/hyperlink" Target="https://www.lcsc.com/product-detail/RF-Mixers_Mini-Circuits-ADE-6_C3176578.html?s_z=n_ADE-6%252B" TargetMode="External"/><Relationship Id="rId40" Type="http://schemas.openxmlformats.org/officeDocument/2006/relationships/hyperlink" Target="https://www.newark.com/onsemi/ncp715sq18t2g/ic-ldo-volt-reg-0-05a-1-8v-sc/dp/62X8355?CMP=AFC-ECIA" TargetMode="External"/><Relationship Id="rId45" Type="http://schemas.openxmlformats.org/officeDocument/2006/relationships/hyperlink" Target="https://www.newark.com/samsung-electro-mechanics/cl31a106kbhnnne/cap-10uf-50v-mlcc-1206/dp/82AC9486" TargetMode="External"/><Relationship Id="rId5" Type="http://schemas.openxmlformats.org/officeDocument/2006/relationships/hyperlink" Target="https://www.digikey.com/en/products/detail/mini-circuits/ADE-6/13927064" TargetMode="External"/><Relationship Id="rId15" Type="http://schemas.openxmlformats.org/officeDocument/2006/relationships/hyperlink" Target="https://www.digikey.com/en/products/detail/samsung-electro-mechanics/CL31B104KBCNNNC/3886675?s=N4IgTCBcDaIMIBkDMBGAQigDAFgNJrgDli4QBdAXyA" TargetMode="External"/><Relationship Id="rId23" Type="http://schemas.openxmlformats.org/officeDocument/2006/relationships/hyperlink" Target="https://www.mouser.com/ProductDetail/ROHM-Semiconductor/LM4565FV-GE2?qs=4v%252BiZTmLVHEiNti1hBVbUQ%3D%3D" TargetMode="External"/><Relationship Id="rId28" Type="http://schemas.openxmlformats.org/officeDocument/2006/relationships/hyperlink" Target="https://www.mouser.com/ProductDetail/Samsung-Electro-Mechanics/CL31B334KBFNNNE?qs=349EhDEZ59qKxGVb2dY2bQ%3D%3D" TargetMode="External"/><Relationship Id="rId36" Type="http://schemas.openxmlformats.org/officeDocument/2006/relationships/hyperlink" Target="https://www.lcsc.com/product-detail/RF-Power-Splitters-Combiners_Mini-Circuits-ADP-2-1W_C879865.html?s_z=n_ADP-2-1W%252B" TargetMode="External"/><Relationship Id="rId49" Type="http://schemas.openxmlformats.org/officeDocument/2006/relationships/hyperlink" Target="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" TargetMode="External"/><Relationship Id="rId10" Type="http://schemas.openxmlformats.org/officeDocument/2006/relationships/hyperlink" Target="https://www.digikey.com/en/products/detail/infineon-technologies/BAT6404E6433HTMA1/1280948?s=N4IgTCBcDaIEIEEAqA2ALABjQUXQZjwAkkBZBARhAF0BfIA" TargetMode="External"/><Relationship Id="rId19" Type="http://schemas.openxmlformats.org/officeDocument/2006/relationships/hyperlink" Target="https://www.mouser.com/ProductDetail/Texas-Instruments/LM828M5-NOPB?qs=QbsRYf82W3GhaXohGcEtsw%3D%3D" TargetMode="External"/><Relationship Id="rId31" Type="http://schemas.openxmlformats.org/officeDocument/2006/relationships/hyperlink" Target="https://www.mouser.com/ProductDetail/Infineon-Technologies/BAT6404E6433HTMA1?qs=K00xGehIlju31KA4KMtgCQ%3D%3D" TargetMode="External"/><Relationship Id="rId44" Type="http://schemas.openxmlformats.org/officeDocument/2006/relationships/hyperlink" Target="https://www.lcsc.com/product-detail/Multilayer-Ceramic-Capacitors-MLCC-SMD-SMT_Samsung-Electro-Mechanics-CL31B334KBFNNNE_C307572.html?s_z=n_CL31B334KBFNNNE" TargetMode="External"/><Relationship Id="rId52" Type="http://schemas.openxmlformats.org/officeDocument/2006/relationships/table" Target="../tables/table1.xml"/><Relationship Id="rId4" Type="http://schemas.openxmlformats.org/officeDocument/2006/relationships/hyperlink" Target="https://www.digikey.com/en/products/detail/mini-circuits/ADP-2-1W/13680589?s=N4IgTCBcDaIIIBEAKBaMKCMB1A1CAugL5A" TargetMode="External"/><Relationship Id="rId9" Type="http://schemas.openxmlformats.org/officeDocument/2006/relationships/hyperlink" Target="https://www.digikey.com/en/products/detail/adam-tech/RF2-04A-T-00-50-G/9830588" TargetMode="External"/><Relationship Id="rId14" Type="http://schemas.openxmlformats.org/officeDocument/2006/relationships/hyperlink" Target="https://www.digikey.com/en/products/detail/johanson-dielectrics-inc/VPDD202W102K1GV001E/1556359?s=N4IgTCBcDaIGoAUAiSwAYwHUCMGDS2A4nGmtgKIgC6AvkA" TargetMode="External"/><Relationship Id="rId22" Type="http://schemas.openxmlformats.org/officeDocument/2006/relationships/hyperlink" Target="https://www.mouser.com/ProductDetail/Analog-Devices/ADG901BRMZ-REEL7?qs=BpaRKvA4VqGtXy7JBFLGiA%3D%3D" TargetMode="External"/><Relationship Id="rId27" Type="http://schemas.openxmlformats.org/officeDocument/2006/relationships/hyperlink" Target="https://www.mouser.com/ProductDetail/Johanson-Dielectrics/VPDD202W102K1GV001E?qs=jRuttqqUwMTOgYz3gUWN7g%3D%3D" TargetMode="External"/><Relationship Id="rId30" Type="http://schemas.openxmlformats.org/officeDocument/2006/relationships/hyperlink" Target="https://www.mouser.com/ProductDetail/onsemi-Fairchild/1N4148-T50R?qs=0lQeLiL1qyZS6rosZp7Ehg%3D%3D" TargetMode="External"/><Relationship Id="rId35" Type="http://schemas.openxmlformats.org/officeDocument/2006/relationships/hyperlink" Target="https://www.lcsc.com/product-detail/Charge-Pumps_Texas-Instruments-LM828M5-NOPB_C471872.html?s_z=n_LM828M5" TargetMode="External"/><Relationship Id="rId43" Type="http://schemas.openxmlformats.org/officeDocument/2006/relationships/hyperlink" Target="https://www.newark.com/johanson-dielectrics/202r18w102kv4e/ceramic-capacitor-1000pf-2000v/dp/01H9029" TargetMode="External"/><Relationship Id="rId48" Type="http://schemas.openxmlformats.org/officeDocument/2006/relationships/hyperlink" Target="https://www.heilind.com/adtrf2-04a-t-00-50-g.html?&amp;utm_source=octopart&amp;utm_medium=buy" TargetMode="External"/><Relationship Id="rId8" Type="http://schemas.openxmlformats.org/officeDocument/2006/relationships/hyperlink" Target="https://www.digikey.com/en/products/detail/onsemi/NCP715SQ18T2G/5257856?s=N4IgTCBcDaIHIGEAKB2AjAVgM4EU0A4AVMAcRAF0BfIA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texas-instruments/LM828M5/2350256" TargetMode="External"/><Relationship Id="rId12" Type="http://schemas.openxmlformats.org/officeDocument/2006/relationships/hyperlink" Target="https://www.digikey.com/en/products/detail/samsung-electro-mechanics/CL31A106KQHNNNE/3886737?s=N4IgTCBcDaIMIBkDMBGAgigDANgNIEUAJAOVIFEQBdAXyA" TargetMode="External"/><Relationship Id="rId17" Type="http://schemas.openxmlformats.org/officeDocument/2006/relationships/hyperlink" Target="https://www.mouser.com/ProductDetail/onsemi/NCP1117DT50RKG?qs=Gev%252BmEvV0iaGLyZQ1w6kFw%3D%3D&amp;srsltid=AfmBOorm3HJC9LJ_FpA0ZSoT3NoLt8lBV9SOBLak7v_5jOgS_GBCqXY6" TargetMode="External"/><Relationship Id="rId25" Type="http://schemas.openxmlformats.org/officeDocument/2006/relationships/hyperlink" Target="https://www.mouser.com/ProductDetail/Samsung-Electro-Mechanics/CL31B105KAHNNNE?qs=349EhDEZ59p5FHnPIxx1UQ%3D%3D" TargetMode="External"/><Relationship Id="rId33" Type="http://schemas.openxmlformats.org/officeDocument/2006/relationships/hyperlink" Target="https://www.lcsc.com/product-detail/Low-Dropout-Regulators-LDO_ON-Semicon_NCP1117DT50RKG_ON-Semicon-ON-NCP1117DT50RKG_C152470.html" TargetMode="External"/><Relationship Id="rId38" Type="http://schemas.openxmlformats.org/officeDocument/2006/relationships/hyperlink" Target="https://www.lcsc.com/product-detail/RF-Switches_Analog-Devices-ADG901BRMZ-REEL7_C206802.html?s_z=n_ADG901BRMZ-REEL7" TargetMode="External"/><Relationship Id="rId46" Type="http://schemas.openxmlformats.org/officeDocument/2006/relationships/hyperlink" Target="https://www.newark.com/onsemi/1n4148-t50r/small-signal-sw-diode-100v-0-2a/dp/48AC1509" TargetMode="External"/><Relationship Id="rId20" Type="http://schemas.openxmlformats.org/officeDocument/2006/relationships/hyperlink" Target="https://www.mouser.com/ProductDetail/Mini-Circuits/ADP-2-1W%2b?qs=xZ%2FP%252Ba9zWqaS05pgXAHsTw%3D%3D" TargetMode="External"/><Relationship Id="rId41" Type="http://schemas.openxmlformats.org/officeDocument/2006/relationships/hyperlink" Target="https://www.lcsc.com/product-detail/Multilayer-Ceramic-Capacitors-MLCC-SMD-SMT_Samsung-Electro-Mechanics-CL31B105KAHNNNE_C28322.html?s_z=n_CL31B105KAHNNNE" TargetMode="External"/><Relationship Id="rId1" Type="http://schemas.openxmlformats.org/officeDocument/2006/relationships/hyperlink" Target="https://www.digikey.com/en/products/detail/onsemi/NCP1117DT50RKG/661206?s=N4IgTCBcDaIHIGEAKBGNB2AIgFQKwAYAlAaQHEQBdAXyA" TargetMode="External"/><Relationship Id="rId6" Type="http://schemas.openxmlformats.org/officeDocument/2006/relationships/hyperlink" Target="https://www.digikey.com/en/products/detail/analog-devices-inc/ADG901BRMZ-REEL7/995401?s=N4IgTCBcDaIIIBEDiBOADARgEICUCyAWgLQ4CipAMgOw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J20"/>
  <sheetViews>
    <sheetView tabSelected="1" workbookViewId="0">
      <selection activeCell="C22" sqref="C22"/>
    </sheetView>
  </sheetViews>
  <sheetFormatPr defaultRowHeight="14.4" x14ac:dyDescent="0.3"/>
  <cols>
    <col min="1" max="1" width="25.44140625" bestFit="1" customWidth="1"/>
    <col min="2" max="2" width="15" customWidth="1"/>
    <col min="3" max="3" width="74" bestFit="1" customWidth="1"/>
    <col min="4" max="4" width="10" customWidth="1"/>
    <col min="5" max="5" width="23.88671875" customWidth="1"/>
    <col min="6" max="6" width="23.5546875" customWidth="1"/>
    <col min="7" max="7" width="41.33203125" customWidth="1"/>
    <col min="8" max="8" width="18.5546875" customWidth="1"/>
    <col min="9" max="9" width="18.6640625" customWidth="1"/>
  </cols>
  <sheetData>
    <row r="1" spans="1:10" x14ac:dyDescent="0.3">
      <c r="A1" t="s">
        <v>1</v>
      </c>
      <c r="B1" t="s">
        <v>86</v>
      </c>
      <c r="C1" t="s">
        <v>2</v>
      </c>
      <c r="D1" t="s">
        <v>3</v>
      </c>
      <c r="E1" t="s">
        <v>4</v>
      </c>
      <c r="F1" t="s">
        <v>0</v>
      </c>
      <c r="G1" t="s">
        <v>43</v>
      </c>
      <c r="H1" t="s">
        <v>44</v>
      </c>
      <c r="I1" t="s">
        <v>45</v>
      </c>
      <c r="J1" t="s">
        <v>105</v>
      </c>
    </row>
    <row r="2" spans="1:10" x14ac:dyDescent="0.3">
      <c r="A2" s="4" t="s">
        <v>5</v>
      </c>
      <c r="B2" t="s">
        <v>87</v>
      </c>
      <c r="C2" t="s">
        <v>6</v>
      </c>
      <c r="D2">
        <v>1</v>
      </c>
      <c r="E2" s="1">
        <v>0.52</v>
      </c>
      <c r="F2" s="1">
        <v>0.52</v>
      </c>
      <c r="G2" s="5" t="s">
        <v>35</v>
      </c>
      <c r="H2" s="5" t="s">
        <v>54</v>
      </c>
      <c r="I2" s="5" t="s">
        <v>70</v>
      </c>
      <c r="J2" s="5"/>
    </row>
    <row r="3" spans="1:10" x14ac:dyDescent="0.3">
      <c r="A3" s="4" t="s">
        <v>7</v>
      </c>
      <c r="B3" t="s">
        <v>88</v>
      </c>
      <c r="C3" t="s">
        <v>8</v>
      </c>
      <c r="D3">
        <v>1</v>
      </c>
      <c r="E3" s="1">
        <v>0.77</v>
      </c>
      <c r="F3" s="1">
        <v>0.77</v>
      </c>
      <c r="G3" s="5" t="s">
        <v>36</v>
      </c>
      <c r="H3" s="5" t="s">
        <v>55</v>
      </c>
      <c r="I3" s="5" t="s">
        <v>71</v>
      </c>
      <c r="J3" s="5"/>
    </row>
    <row r="4" spans="1:10" ht="28.8" x14ac:dyDescent="0.3">
      <c r="A4" s="4" t="s">
        <v>9</v>
      </c>
      <c r="B4" t="s">
        <v>92</v>
      </c>
      <c r="C4" t="s">
        <v>10</v>
      </c>
      <c r="D4">
        <v>1</v>
      </c>
      <c r="E4" s="1">
        <v>1.25</v>
      </c>
      <c r="F4" s="1">
        <v>1.25</v>
      </c>
      <c r="G4" s="5" t="s">
        <v>37</v>
      </c>
      <c r="H4" s="5" t="s">
        <v>56</v>
      </c>
      <c r="I4" s="5" t="s">
        <v>72</v>
      </c>
      <c r="J4" s="5"/>
    </row>
    <row r="5" spans="1:10" x14ac:dyDescent="0.3">
      <c r="A5" s="4" t="s">
        <v>11</v>
      </c>
      <c r="B5" t="s">
        <v>89</v>
      </c>
      <c r="C5" t="s">
        <v>12</v>
      </c>
      <c r="D5">
        <v>1</v>
      </c>
      <c r="E5" s="1">
        <v>11.55</v>
      </c>
      <c r="F5" s="1">
        <v>11.55</v>
      </c>
      <c r="G5" s="5" t="s">
        <v>38</v>
      </c>
      <c r="H5" s="5" t="s">
        <v>57</v>
      </c>
      <c r="I5" s="5" t="s">
        <v>73</v>
      </c>
      <c r="J5" s="5"/>
    </row>
    <row r="6" spans="1:10" x14ac:dyDescent="0.3">
      <c r="A6" s="4" t="s">
        <v>13</v>
      </c>
      <c r="B6" t="s">
        <v>90</v>
      </c>
      <c r="C6" t="s">
        <v>14</v>
      </c>
      <c r="D6">
        <v>1</v>
      </c>
      <c r="E6" s="1">
        <v>10.8</v>
      </c>
      <c r="F6" s="1">
        <v>10.8</v>
      </c>
      <c r="G6" s="5" t="s">
        <v>39</v>
      </c>
      <c r="H6" s="5" t="s">
        <v>58</v>
      </c>
      <c r="I6" s="5" t="s">
        <v>74</v>
      </c>
      <c r="J6" s="5"/>
    </row>
    <row r="7" spans="1:10" x14ac:dyDescent="0.3">
      <c r="A7" s="4" t="s">
        <v>15</v>
      </c>
      <c r="B7" t="s">
        <v>91</v>
      </c>
      <c r="C7" t="s">
        <v>16</v>
      </c>
      <c r="D7">
        <v>1</v>
      </c>
      <c r="E7" s="1">
        <v>4.03</v>
      </c>
      <c r="F7" s="1">
        <v>4.03</v>
      </c>
      <c r="G7" s="5" t="s">
        <v>40</v>
      </c>
      <c r="H7" s="5" t="s">
        <v>59</v>
      </c>
      <c r="I7" s="5" t="s">
        <v>75</v>
      </c>
      <c r="J7" s="5"/>
    </row>
    <row r="8" spans="1:10" x14ac:dyDescent="0.3">
      <c r="A8" s="4" t="s">
        <v>17</v>
      </c>
      <c r="B8" t="s">
        <v>93</v>
      </c>
      <c r="C8" t="s">
        <v>18</v>
      </c>
      <c r="D8">
        <v>1</v>
      </c>
      <c r="E8" s="1">
        <v>0.61</v>
      </c>
      <c r="F8" s="1">
        <v>0.61</v>
      </c>
      <c r="G8" s="5" t="s">
        <v>41</v>
      </c>
      <c r="H8" s="5" t="s">
        <v>60</v>
      </c>
      <c r="I8" s="5" t="s">
        <v>76</v>
      </c>
      <c r="J8" s="5"/>
    </row>
    <row r="9" spans="1:10" ht="28.8" x14ac:dyDescent="0.3">
      <c r="A9" s="4" t="s">
        <v>19</v>
      </c>
      <c r="B9" t="s">
        <v>94</v>
      </c>
      <c r="C9" t="s">
        <v>20</v>
      </c>
      <c r="D9">
        <v>1</v>
      </c>
      <c r="E9" s="1">
        <v>0.25</v>
      </c>
      <c r="F9" s="1">
        <v>0.25</v>
      </c>
      <c r="G9" s="5" t="s">
        <v>42</v>
      </c>
      <c r="H9" s="5" t="s">
        <v>61</v>
      </c>
      <c r="I9" s="5" t="s">
        <v>77</v>
      </c>
      <c r="J9" s="5"/>
    </row>
    <row r="10" spans="1:10" x14ac:dyDescent="0.3">
      <c r="A10" s="4" t="s">
        <v>95</v>
      </c>
      <c r="B10" t="s">
        <v>97</v>
      </c>
      <c r="C10" t="s">
        <v>23</v>
      </c>
      <c r="D10">
        <v>3</v>
      </c>
      <c r="E10" s="1">
        <v>0.13</v>
      </c>
      <c r="F10" s="1">
        <v>0.39</v>
      </c>
      <c r="G10" s="5" t="s">
        <v>53</v>
      </c>
      <c r="H10" s="5" t="s">
        <v>62</v>
      </c>
      <c r="I10" s="5" t="s">
        <v>78</v>
      </c>
      <c r="J10" s="5"/>
    </row>
    <row r="11" spans="1:10" x14ac:dyDescent="0.3">
      <c r="A11" s="4" t="s">
        <v>21</v>
      </c>
      <c r="B11" t="s">
        <v>99</v>
      </c>
      <c r="C11" t="s">
        <v>24</v>
      </c>
      <c r="D11">
        <v>3</v>
      </c>
      <c r="E11" s="1">
        <v>0.11</v>
      </c>
      <c r="F11" s="1">
        <v>0.33</v>
      </c>
      <c r="G11" s="5" t="s">
        <v>52</v>
      </c>
      <c r="H11" s="5" t="s">
        <v>63</v>
      </c>
      <c r="I11" s="5" t="s">
        <v>79</v>
      </c>
      <c r="J11" s="5"/>
    </row>
    <row r="12" spans="1:10" x14ac:dyDescent="0.3">
      <c r="A12" s="4" t="s">
        <v>96</v>
      </c>
      <c r="B12" t="s">
        <v>100</v>
      </c>
      <c r="C12" t="s">
        <v>25</v>
      </c>
      <c r="D12">
        <v>2</v>
      </c>
      <c r="E12" s="1">
        <v>0.19</v>
      </c>
      <c r="F12" s="1">
        <v>0.38</v>
      </c>
      <c r="G12" s="5" t="s">
        <v>51</v>
      </c>
      <c r="H12" s="5" t="s">
        <v>64</v>
      </c>
      <c r="I12" s="5" t="s">
        <v>80</v>
      </c>
      <c r="J12" s="5"/>
    </row>
    <row r="13" spans="1:10" x14ac:dyDescent="0.3">
      <c r="A13" s="4" t="s">
        <v>22</v>
      </c>
      <c r="B13" t="s">
        <v>101</v>
      </c>
      <c r="C13" t="s">
        <v>26</v>
      </c>
      <c r="D13">
        <v>1</v>
      </c>
      <c r="E13" s="1">
        <v>0.18</v>
      </c>
      <c r="F13" s="1">
        <v>0.18</v>
      </c>
      <c r="G13" s="5" t="s">
        <v>50</v>
      </c>
      <c r="H13" s="5" t="s">
        <v>65</v>
      </c>
      <c r="I13" s="5" t="s">
        <v>81</v>
      </c>
      <c r="J13" s="5"/>
    </row>
    <row r="14" spans="1:10" x14ac:dyDescent="0.3">
      <c r="A14" s="4" t="s">
        <v>27</v>
      </c>
      <c r="B14" t="s">
        <v>98</v>
      </c>
      <c r="C14" t="s">
        <v>28</v>
      </c>
      <c r="D14">
        <v>4</v>
      </c>
      <c r="E14" s="1">
        <v>0.19</v>
      </c>
      <c r="F14" s="1">
        <v>0.76</v>
      </c>
      <c r="G14" s="5" t="s">
        <v>49</v>
      </c>
      <c r="H14" s="5" t="s">
        <v>66</v>
      </c>
      <c r="I14" s="5" t="s">
        <v>82</v>
      </c>
      <c r="J14" s="5"/>
    </row>
    <row r="15" spans="1:10" x14ac:dyDescent="0.3">
      <c r="A15" s="4" t="s">
        <v>115</v>
      </c>
      <c r="B15" t="s">
        <v>107</v>
      </c>
      <c r="C15" s="4" t="s">
        <v>118</v>
      </c>
      <c r="D15">
        <v>1</v>
      </c>
      <c r="E15" s="1">
        <v>0.1</v>
      </c>
      <c r="F15" s="1">
        <v>0.1</v>
      </c>
      <c r="G15" s="5" t="s">
        <v>109</v>
      </c>
      <c r="H15" s="5" t="s">
        <v>116</v>
      </c>
      <c r="I15" s="5" t="s">
        <v>117</v>
      </c>
      <c r="J15" s="5"/>
    </row>
    <row r="16" spans="1:10" x14ac:dyDescent="0.3">
      <c r="A16" s="4" t="s">
        <v>110</v>
      </c>
      <c r="B16" t="s">
        <v>108</v>
      </c>
      <c r="C16" t="s">
        <v>111</v>
      </c>
      <c r="D16">
        <v>1</v>
      </c>
      <c r="E16" s="1">
        <v>0.1</v>
      </c>
      <c r="F16" s="1">
        <v>0.1</v>
      </c>
      <c r="G16" s="5" t="s">
        <v>112</v>
      </c>
      <c r="H16" s="5" t="s">
        <v>113</v>
      </c>
      <c r="I16" s="5" t="s">
        <v>114</v>
      </c>
      <c r="J16" s="5"/>
    </row>
    <row r="17" spans="1:10" x14ac:dyDescent="0.3">
      <c r="A17" s="4" t="s">
        <v>29</v>
      </c>
      <c r="B17" t="s">
        <v>103</v>
      </c>
      <c r="C17" t="s">
        <v>30</v>
      </c>
      <c r="D17">
        <v>4</v>
      </c>
      <c r="E17" s="1">
        <v>0.1</v>
      </c>
      <c r="F17" s="1">
        <v>0.4</v>
      </c>
      <c r="G17" s="5" t="s">
        <v>48</v>
      </c>
      <c r="H17" s="5" t="s">
        <v>67</v>
      </c>
      <c r="I17" s="5" t="s">
        <v>83</v>
      </c>
      <c r="J17" s="5"/>
    </row>
    <row r="18" spans="1:10" ht="28.8" x14ac:dyDescent="0.3">
      <c r="A18" s="4" t="s">
        <v>31</v>
      </c>
      <c r="B18" t="s">
        <v>102</v>
      </c>
      <c r="C18" t="s">
        <v>32</v>
      </c>
      <c r="D18">
        <v>3</v>
      </c>
      <c r="E18" s="1">
        <v>0.46</v>
      </c>
      <c r="F18" s="1">
        <v>1.38</v>
      </c>
      <c r="G18" s="5" t="s">
        <v>47</v>
      </c>
      <c r="H18" s="5" t="s">
        <v>68</v>
      </c>
      <c r="I18" s="5" t="s">
        <v>84</v>
      </c>
      <c r="J18" s="5"/>
    </row>
    <row r="19" spans="1:10" ht="28.8" x14ac:dyDescent="0.3">
      <c r="A19" s="4" t="s">
        <v>33</v>
      </c>
      <c r="B19" t="s">
        <v>104</v>
      </c>
      <c r="C19" t="s">
        <v>34</v>
      </c>
      <c r="D19">
        <v>12</v>
      </c>
      <c r="E19" s="1">
        <v>1.84</v>
      </c>
      <c r="F19" s="1">
        <v>22.08</v>
      </c>
      <c r="G19" s="5" t="s">
        <v>46</v>
      </c>
      <c r="H19" s="5" t="s">
        <v>69</v>
      </c>
      <c r="I19" s="5" t="s">
        <v>85</v>
      </c>
      <c r="J19" s="5" t="s">
        <v>106</v>
      </c>
    </row>
    <row r="20" spans="1:10" x14ac:dyDescent="0.3">
      <c r="E20" s="2" t="s">
        <v>0</v>
      </c>
      <c r="F20" s="3">
        <f>SUM(F2:F19)</f>
        <v>55.88</v>
      </c>
    </row>
  </sheetData>
  <phoneticPr fontId="3" type="noConversion"/>
  <hyperlinks>
    <hyperlink ref="G2" r:id="rId1" xr:uid="{519CECF9-06B6-4E70-862E-6CF7F786775B}"/>
    <hyperlink ref="G3" r:id="rId2" xr:uid="{C598BACE-CE8B-49FD-881F-AD2471656F65}"/>
    <hyperlink ref="G4" r:id="rId3" xr:uid="{35C0BA64-C19E-484B-972E-D4843344E2B5}"/>
    <hyperlink ref="G5" r:id="rId4" xr:uid="{02073409-00C2-4C51-83EC-97A07CDF9BAB}"/>
    <hyperlink ref="G6" r:id="rId5" xr:uid="{CEEC7E8B-5F64-4DDD-BB5E-8202CED76FE4}"/>
    <hyperlink ref="G7" r:id="rId6" xr:uid="{58EB83B7-5748-4AFA-9A18-DC92D6A5C3A5}"/>
    <hyperlink ref="G8" r:id="rId7" xr:uid="{63324E66-EECF-420A-939D-9FC410ECA74B}"/>
    <hyperlink ref="G9" r:id="rId8" xr:uid="{54F3D8AB-A6FA-4E4F-86DB-421A97E77B63}"/>
    <hyperlink ref="G19" r:id="rId9" xr:uid="{A3BA962D-F109-4E59-B8E9-240AF405D6C7}"/>
    <hyperlink ref="G18" r:id="rId10" xr:uid="{0BFA9F3D-5219-4B8C-B846-B76FFD0BF1F0}"/>
    <hyperlink ref="G17" r:id="rId11" xr:uid="{2B6DAD25-A022-47B4-97A4-D1F53A16C922}"/>
    <hyperlink ref="G14" r:id="rId12" xr:uid="{E67D244A-F5D5-478D-A098-E4333EDFDF4B}"/>
    <hyperlink ref="G13" r:id="rId13" xr:uid="{5705BC2E-3933-42BB-9D8D-A4561DE31E87}"/>
    <hyperlink ref="G12" r:id="rId14" xr:uid="{09FEC92A-8E57-4745-B2B1-CB173FE342AF}"/>
    <hyperlink ref="G11" r:id="rId15" xr:uid="{D85B8645-75F4-4DBE-96B6-5E264C73B64D}"/>
    <hyperlink ref="G10" r:id="rId16" xr:uid="{B42BB367-E930-4F01-8984-E1B2FFC1315A}"/>
    <hyperlink ref="H2" r:id="rId17" xr:uid="{AC63E67E-A0B3-4A54-B1EA-D69352B35E07}"/>
    <hyperlink ref="H3" r:id="rId18" xr:uid="{28025270-E5D5-4156-B3FB-9CAB7029620E}"/>
    <hyperlink ref="H4" r:id="rId19" xr:uid="{7BF3CEDE-E935-45C4-AB8D-C785568BAD81}"/>
    <hyperlink ref="H5" r:id="rId20" xr:uid="{3ECF6EA4-A634-4F9B-B1AB-0A182259698F}"/>
    <hyperlink ref="H6" r:id="rId21" xr:uid="{7412DBB7-8AF9-4525-B14C-686F7197DFE7}"/>
    <hyperlink ref="H7" r:id="rId22" xr:uid="{F9D5EEB3-CFF4-4E31-B844-D1A3572D9FA9}"/>
    <hyperlink ref="H8" r:id="rId23" xr:uid="{63C8E88F-8E99-4823-B700-9B5B55D315CF}"/>
    <hyperlink ref="H9" r:id="rId24" xr:uid="{C8D10D9F-D84E-41EB-AA2A-0C871FD32342}"/>
    <hyperlink ref="H10" r:id="rId25" xr:uid="{85687F6A-272F-45B5-8586-33E1B62F6EB3}"/>
    <hyperlink ref="H11" r:id="rId26" xr:uid="{EA668B17-66D9-4914-8CCA-6270540537CB}"/>
    <hyperlink ref="H12" r:id="rId27" xr:uid="{A95E50CD-0F2B-42EB-A612-F26689DBB1BD}"/>
    <hyperlink ref="H13" r:id="rId28" xr:uid="{A47CD37A-AB72-47AE-B101-3D17B982BBA4}"/>
    <hyperlink ref="H14" r:id="rId29" xr:uid="{6157CC72-7B08-409E-9726-7860E43890F2}"/>
    <hyperlink ref="H17" r:id="rId30" xr:uid="{5170F63F-E451-4F56-9E16-342D86EBC5EE}"/>
    <hyperlink ref="H18" r:id="rId31" xr:uid="{68387AC1-0AFF-4B09-80A2-0E1265035880}"/>
    <hyperlink ref="H19" r:id="rId32" xr:uid="{1217DDB9-52C2-422A-8A1B-09D810B1EDDC}"/>
    <hyperlink ref="I2" r:id="rId33" xr:uid="{21C64DF6-7CFB-4622-B705-E45DE97F54C3}"/>
    <hyperlink ref="I3" r:id="rId34" xr:uid="{7615D67B-8115-4CDE-9A36-971CAE6D188C}"/>
    <hyperlink ref="I4" r:id="rId35" xr:uid="{EEB5BA5E-4DFB-4A7B-ACC9-0909D78EBD39}"/>
    <hyperlink ref="I5" r:id="rId36" xr:uid="{54982B05-AFA0-41A0-A6D7-85F7EB5120B5}"/>
    <hyperlink ref="I6" r:id="rId37" xr:uid="{66BE5829-BD1A-48C1-8D52-7602BFF727D3}"/>
    <hyperlink ref="I7" r:id="rId38" xr:uid="{4E82A843-4CDE-4D45-A6D2-73A90631024D}"/>
    <hyperlink ref="I8" r:id="rId39" xr:uid="{19E2D800-BA3B-46DF-8B4E-F87BDD487A70}"/>
    <hyperlink ref="I9" r:id="rId40" xr:uid="{20F0E94E-7680-4E46-ADC6-EFCF6E46EE8E}"/>
    <hyperlink ref="I10" r:id="rId41" xr:uid="{6F9496C0-8CA4-4CDF-9D84-31A1F640E963}"/>
    <hyperlink ref="I11" r:id="rId42" xr:uid="{0B141640-F3A7-45E5-A1A0-A4AAB76098BD}"/>
    <hyperlink ref="I12" r:id="rId43" xr:uid="{3D7CF0F8-FBA9-4294-969E-610715CC9C49}"/>
    <hyperlink ref="I13" r:id="rId44" xr:uid="{83131CC0-2803-41BC-A556-0751DE525F11}"/>
    <hyperlink ref="I14" r:id="rId45" xr:uid="{760BD45C-1B1D-4646-918B-A896989D84DE}"/>
    <hyperlink ref="I17" r:id="rId46" xr:uid="{E7EC7AB1-459C-4F7D-B9D1-9E4B6E1CF277}"/>
    <hyperlink ref="I18" r:id="rId47" xr:uid="{58C1C938-00FA-42E3-8713-B0675000BB1E}"/>
    <hyperlink ref="I19" r:id="rId48" xr:uid="{1BDEA6F5-86FC-4D8D-BDE5-335306D6C4AB}"/>
    <hyperlink ref="J19" r:id="rId49" display="https://www.aliexpress.us/item/3256804056009500.html?spm=a2g0o.productlist.main.2.30276febieJcvn&amp;algo_pvid=909743e4-35c2-4e86-8d65-7d8d115ba05f&amp;algo_exp_id=909743e4-35c2-4e86-8d65-7d8d115ba05f-1&amp;pdp_ext_f=%7B%22order%22%3A%226336%22%2C%22eval%22%3A%221%22%2C%22fromPage%22%3A%22search%22%7D&amp;pdp_npi=6%40dis%21USD%212.60%210.99%21%21%212.60%210.99%21%4021030a4b17757515549945973e60dd%2112000056072044332%21sea%21US%210%21ABX%211%210%21n_tag%3A-29910%3Bd%3A1ebdde83%3Bm03_new_user%3A-29895%3BpisId%3A5000000197847434&amp;curPageLogUid=FLqHVcrTDnmC&amp;utparam-url=scene%3Asearch%7Cquery_from%3A%7Cx_object_id%3A1005004242324252%7C_p_origin_prod%3A" xr:uid="{F3A82335-6F0B-484A-A34D-65FC8405399D}"/>
    <hyperlink ref="G15" r:id="rId50" xr:uid="{9491FBE4-3ECB-43E1-9F42-87AE38C4E241}"/>
  </hyperlinks>
  <pageMargins left="0.7" right="0.7" top="0.75" bottom="0.75" header="0.3" footer="0.3"/>
  <pageSetup orientation="portrait" r:id="rId51"/>
  <tableParts count="1">
    <tablePart r:id="rId5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Giannasi, Jimmy</cp:lastModifiedBy>
  <cp:lastPrinted>2025-05-01T19:35:57Z</cp:lastPrinted>
  <dcterms:created xsi:type="dcterms:W3CDTF">2025-03-06T14:44:50Z</dcterms:created>
  <dcterms:modified xsi:type="dcterms:W3CDTF">2026-04-12T17:54:19Z</dcterms:modified>
</cp:coreProperties>
</file>